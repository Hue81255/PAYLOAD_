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2102\Desktop\"/>
    </mc:Choice>
  </mc:AlternateContent>
  <xr:revisionPtr revIDLastSave="0" documentId="13_ncr:1_{9812AFF8-D028-4BA3-A314-655D1480FC59}" xr6:coauthVersionLast="47" xr6:coauthVersionMax="47" xr10:uidLastSave="{00000000-0000-0000-0000-000000000000}"/>
  <bookViews>
    <workbookView xWindow="-72" yWindow="0" windowWidth="11388" windowHeight="12336" xr2:uid="{9974074B-1528-483D-A781-C0FF7730FA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2" i="1"/>
  <c r="F3" i="1"/>
  <c r="F4" i="1"/>
  <c r="F5" i="1"/>
  <c r="F6" i="1"/>
  <c r="F7" i="1"/>
  <c r="F8" i="1"/>
  <c r="F9" i="1"/>
  <c r="F10" i="1"/>
  <c r="F2" i="1"/>
  <c r="E3" i="1"/>
  <c r="E4" i="1"/>
  <c r="E5" i="1"/>
  <c r="E6" i="1"/>
  <c r="E7" i="1"/>
  <c r="E8" i="1"/>
  <c r="E9" i="1"/>
  <c r="E10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82102</author>
  </authors>
  <commentList>
    <comment ref="A2" authorId="0" shapeId="0" xr:uid="{754E89A4-5EE2-46E8-98D5-78FDDEB941BD}">
      <text>
        <r>
          <rPr>
            <b/>
            <sz val="9"/>
            <color indexed="81"/>
            <rFont val="돋움"/>
            <family val="3"/>
            <charset val="129"/>
          </rPr>
          <t>복합지역</t>
        </r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전염도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복잡도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은신도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중간수치</t>
        </r>
      </text>
    </comment>
    <comment ref="A3" authorId="0" shapeId="0" xr:uid="{42997D4F-E74A-437F-99AD-E148686AD229}">
      <text>
        <r>
          <rPr>
            <b/>
            <sz val="9"/>
            <color indexed="81"/>
            <rFont val="돋움"/>
            <family val="3"/>
            <charset val="129"/>
          </rPr>
          <t>산업단지</t>
        </r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공업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높고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전염도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복잡도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낮음</t>
        </r>
      </text>
    </comment>
    <comment ref="A4" authorId="0" shapeId="0" xr:uid="{BCE933D2-E757-4B1E-822B-0DCE0253AB91}">
      <text>
        <r>
          <rPr>
            <b/>
            <sz val="9"/>
            <color indexed="81"/>
            <rFont val="돋움"/>
            <family val="3"/>
            <charset val="129"/>
          </rPr>
          <t>주거지역</t>
        </r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은신도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높고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복잡도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낮음</t>
        </r>
      </text>
    </comment>
    <comment ref="A5" authorId="0" shapeId="0" xr:uid="{08EFE010-D9A4-4F7B-A4B2-29E8152AF6BA}">
      <text>
        <r>
          <rPr>
            <b/>
            <sz val="9"/>
            <color indexed="81"/>
            <rFont val="돋움"/>
            <family val="3"/>
            <charset val="129"/>
          </rPr>
          <t>혼합지역</t>
        </r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수치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중간</t>
        </r>
      </text>
    </comment>
    <comment ref="A6" authorId="0" shapeId="0" xr:uid="{A111CF31-49CF-48F0-A0DF-A1DE66D0DDFA}">
      <text>
        <r>
          <rPr>
            <b/>
            <sz val="9"/>
            <color indexed="81"/>
            <rFont val="돋움"/>
            <family val="3"/>
            <charset val="129"/>
          </rPr>
          <t>업무지역</t>
        </r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전염도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복잡도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높고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은신도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높음</t>
        </r>
      </text>
    </comment>
    <comment ref="A7" authorId="0" shapeId="0" xr:uid="{C012ED29-2A96-4933-A9ED-FA895C2C374E}">
      <text>
        <r>
          <rPr>
            <b/>
            <sz val="9"/>
            <color indexed="81"/>
            <rFont val="돋움"/>
            <family val="3"/>
            <charset val="129"/>
          </rPr>
          <t>주거지역</t>
        </r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은신도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높고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전염도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높음</t>
        </r>
      </text>
    </comment>
    <comment ref="A8" authorId="0" shapeId="0" xr:uid="{0FE45C9D-0763-498E-86E3-1C1626858049}">
      <text>
        <r>
          <rPr>
            <b/>
            <sz val="9"/>
            <color indexed="81"/>
            <rFont val="돋움"/>
            <family val="3"/>
            <charset val="129"/>
          </rPr>
          <t>산업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상업</t>
        </r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전염도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복잡도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높음</t>
        </r>
      </text>
    </comment>
    <comment ref="A9" authorId="0" shapeId="0" xr:uid="{DC11F847-41D0-4CDA-BE9F-9623B89666A6}">
      <text>
        <r>
          <rPr>
            <b/>
            <sz val="9"/>
            <color indexed="81"/>
            <rFont val="돋움"/>
            <family val="3"/>
            <charset val="129"/>
          </rPr>
          <t>산업지역</t>
        </r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공업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높고
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전염도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복잡도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낮음</t>
        </r>
      </text>
    </comment>
    <comment ref="A10" authorId="0" shapeId="0" xr:uid="{C7292D9D-F3C0-458C-BEC8-84FB0E8BD890}">
      <text>
        <r>
          <rPr>
            <b/>
            <sz val="9"/>
            <color indexed="81"/>
            <rFont val="돋움"/>
            <family val="3"/>
            <charset val="129"/>
          </rPr>
          <t>산업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개발</t>
        </r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수치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중간</t>
        </r>
      </text>
    </comment>
  </commentList>
</comments>
</file>

<file path=xl/sharedStrings.xml><?xml version="1.0" encoding="utf-8"?>
<sst xmlns="http://schemas.openxmlformats.org/spreadsheetml/2006/main" count="16" uniqueCount="16">
  <si>
    <t>지역</t>
    <phoneticPr fontId="1" type="noConversion"/>
  </si>
  <si>
    <t>동구</t>
    <phoneticPr fontId="1" type="noConversion"/>
  </si>
  <si>
    <t>서구</t>
    <phoneticPr fontId="1" type="noConversion"/>
  </si>
  <si>
    <t>남구</t>
    <phoneticPr fontId="1" type="noConversion"/>
  </si>
  <si>
    <t>북구</t>
    <phoneticPr fontId="1" type="noConversion"/>
  </si>
  <si>
    <t>중구</t>
    <phoneticPr fontId="1" type="noConversion"/>
  </si>
  <si>
    <t>수성구</t>
    <phoneticPr fontId="1" type="noConversion"/>
  </si>
  <si>
    <t>달서구</t>
    <phoneticPr fontId="1" type="noConversion"/>
  </si>
  <si>
    <t>달성군1</t>
    <phoneticPr fontId="1" type="noConversion"/>
  </si>
  <si>
    <t>달성군2</t>
    <phoneticPr fontId="1" type="noConversion"/>
  </si>
  <si>
    <t>inf</t>
    <phoneticPr fontId="1" type="noConversion"/>
  </si>
  <si>
    <t>comp</t>
    <phoneticPr fontId="1" type="noConversion"/>
  </si>
  <si>
    <t>stealth</t>
    <phoneticPr fontId="1" type="noConversion"/>
  </si>
  <si>
    <t>업무</t>
    <phoneticPr fontId="1" type="noConversion"/>
  </si>
  <si>
    <t>공업</t>
    <phoneticPr fontId="1" type="noConversion"/>
  </si>
  <si>
    <t>주거(인구)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</si>
</sst>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00401-AC2B-4BC2-A7A2-67A7E83545C2}">
  <dimension ref="A1:G10"/>
  <sheetViews>
    <sheetView tabSelected="1" workbookViewId="0">
      <selection activeCell="I14" sqref="I14"/>
    </sheetView>
  </sheetViews>
  <sheetFormatPr defaultRowHeight="17.399999999999999" x14ac:dyDescent="0.4"/>
  <cols>
    <col min="2" max="2" width="9.8984375" customWidth="1"/>
    <col min="6" max="6" width="8.3984375" customWidth="1"/>
  </cols>
  <sheetData>
    <row r="1" spans="1:7" x14ac:dyDescent="0.4">
      <c r="A1" s="1" t="s">
        <v>0</v>
      </c>
      <c r="B1" t="s">
        <v>15</v>
      </c>
      <c r="C1" t="s">
        <v>13</v>
      </c>
      <c r="D1" t="s">
        <v>14</v>
      </c>
      <c r="E1" t="s">
        <v>10</v>
      </c>
      <c r="F1" t="s">
        <v>11</v>
      </c>
      <c r="G1" t="s">
        <v>12</v>
      </c>
    </row>
    <row r="2" spans="1:7" x14ac:dyDescent="0.4">
      <c r="A2" t="s">
        <v>1</v>
      </c>
      <c r="B2">
        <v>70</v>
      </c>
      <c r="C2">
        <v>75</v>
      </c>
      <c r="D2">
        <v>60</v>
      </c>
      <c r="E2">
        <f>ROUND((B2+C2+D2)/3,0)</f>
        <v>68</v>
      </c>
      <c r="F2">
        <f>ROUND((C2*0.6+D2*0.4),0)</f>
        <v>69</v>
      </c>
      <c r="G2">
        <f>ROUND(100-(C2*0.6+D2*0.4),0)</f>
        <v>31</v>
      </c>
    </row>
    <row r="3" spans="1:7" x14ac:dyDescent="0.4">
      <c r="A3" t="s">
        <v>2</v>
      </c>
      <c r="B3">
        <v>50</v>
      </c>
      <c r="C3">
        <v>45</v>
      </c>
      <c r="D3">
        <v>85</v>
      </c>
      <c r="E3">
        <f t="shared" ref="E3:E10" si="0">ROUND((B3+C3+D3)/3,0)</f>
        <v>60</v>
      </c>
      <c r="F3">
        <f t="shared" ref="F3:F10" si="1">ROUND((C3*0.6+D3*0.4),0)</f>
        <v>61</v>
      </c>
      <c r="G3">
        <f t="shared" ref="G3:G10" si="2">ROUND(100-(C3*0.6+D3*0.4),0)</f>
        <v>39</v>
      </c>
    </row>
    <row r="4" spans="1:7" x14ac:dyDescent="0.4">
      <c r="A4" t="s">
        <v>3</v>
      </c>
      <c r="B4">
        <v>45</v>
      </c>
      <c r="C4">
        <v>40</v>
      </c>
      <c r="D4">
        <v>20</v>
      </c>
      <c r="E4">
        <f t="shared" si="0"/>
        <v>35</v>
      </c>
      <c r="F4">
        <f t="shared" si="1"/>
        <v>32</v>
      </c>
      <c r="G4">
        <f t="shared" si="2"/>
        <v>68</v>
      </c>
    </row>
    <row r="5" spans="1:7" x14ac:dyDescent="0.4">
      <c r="A5" t="s">
        <v>4</v>
      </c>
      <c r="B5">
        <v>80</v>
      </c>
      <c r="C5">
        <v>60</v>
      </c>
      <c r="D5">
        <v>60</v>
      </c>
      <c r="E5">
        <f t="shared" si="0"/>
        <v>67</v>
      </c>
      <c r="F5">
        <f t="shared" si="1"/>
        <v>60</v>
      </c>
      <c r="G5">
        <f t="shared" si="2"/>
        <v>40</v>
      </c>
    </row>
    <row r="6" spans="1:7" x14ac:dyDescent="0.4">
      <c r="A6" t="s">
        <v>5</v>
      </c>
      <c r="B6">
        <v>40</v>
      </c>
      <c r="C6">
        <v>95</v>
      </c>
      <c r="D6">
        <v>20</v>
      </c>
      <c r="E6">
        <f t="shared" si="0"/>
        <v>52</v>
      </c>
      <c r="F6">
        <f t="shared" si="1"/>
        <v>65</v>
      </c>
      <c r="G6">
        <f t="shared" si="2"/>
        <v>35</v>
      </c>
    </row>
    <row r="7" spans="1:7" x14ac:dyDescent="0.4">
      <c r="A7" t="s">
        <v>6</v>
      </c>
      <c r="B7">
        <v>80</v>
      </c>
      <c r="C7">
        <v>70</v>
      </c>
      <c r="D7">
        <v>20</v>
      </c>
      <c r="E7">
        <f t="shared" si="0"/>
        <v>57</v>
      </c>
      <c r="F7">
        <f t="shared" si="1"/>
        <v>50</v>
      </c>
      <c r="G7">
        <f t="shared" si="2"/>
        <v>50</v>
      </c>
    </row>
    <row r="8" spans="1:7" x14ac:dyDescent="0.4">
      <c r="A8" t="s">
        <v>7</v>
      </c>
      <c r="B8">
        <v>90</v>
      </c>
      <c r="C8">
        <v>80</v>
      </c>
      <c r="D8">
        <v>70</v>
      </c>
      <c r="E8">
        <f t="shared" si="0"/>
        <v>80</v>
      </c>
      <c r="F8">
        <f t="shared" si="1"/>
        <v>76</v>
      </c>
      <c r="G8">
        <f t="shared" si="2"/>
        <v>24</v>
      </c>
    </row>
    <row r="9" spans="1:7" x14ac:dyDescent="0.4">
      <c r="A9" t="s">
        <v>8</v>
      </c>
      <c r="B9">
        <v>40</v>
      </c>
      <c r="C9">
        <v>40</v>
      </c>
      <c r="D9">
        <v>90</v>
      </c>
      <c r="E9">
        <f t="shared" si="0"/>
        <v>57</v>
      </c>
      <c r="F9">
        <f t="shared" si="1"/>
        <v>60</v>
      </c>
      <c r="G9">
        <f t="shared" si="2"/>
        <v>40</v>
      </c>
    </row>
    <row r="10" spans="1:7" x14ac:dyDescent="0.4">
      <c r="A10" t="s">
        <v>9</v>
      </c>
      <c r="B10">
        <v>50</v>
      </c>
      <c r="C10">
        <v>40</v>
      </c>
      <c r="D10">
        <v>85</v>
      </c>
      <c r="E10">
        <f t="shared" si="0"/>
        <v>58</v>
      </c>
      <c r="F10">
        <f t="shared" si="1"/>
        <v>58</v>
      </c>
      <c r="G10">
        <f t="shared" si="2"/>
        <v>42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821023209157</dc:creator>
  <cp:lastModifiedBy>821023209157</cp:lastModifiedBy>
  <dcterms:created xsi:type="dcterms:W3CDTF">2026-04-05T11:41:58Z</dcterms:created>
  <dcterms:modified xsi:type="dcterms:W3CDTF">2026-04-05T12:36:53Z</dcterms:modified>
</cp:coreProperties>
</file>